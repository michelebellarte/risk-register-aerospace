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_REGISTER" sheetId="1" state="visible" r:id="rId3"/>
    <sheet name="P×I MATRIX" sheetId="2" state="visible" r:id="rId4"/>
    <sheet name="RESPONSE_GUIDE" sheetId="3" state="visible" r:id="rId5"/>
    <sheet name="HOW_TO_U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<sst xmlns="http://schemas.openxmlformats.org/spreadsheetml/2006/main" count="159" uniqueCount="138">
  <si>
    <t xml:space="preserve">AEROSPACE PROJECT RISK REGISTER — PMBOK 7 COMPLIANT</t>
  </si>
  <si>
    <t xml:space="preserve">Project: AMX-200 Fuselage Coating Program  |  Leonardo S.p.A. — Divisione Aerostrutture  |  Status Date: July 2026</t>
  </si>
  <si>
    <t xml:space="preserve">ID</t>
  </si>
  <si>
    <t xml:space="preserve">Risk Description</t>
  </si>
  <si>
    <t xml:space="preserve">Category</t>
  </si>
  <si>
    <t xml:space="preserve">Probability
(1–5)</t>
  </si>
  <si>
    <t xml:space="preserve">Impact
(1–5)</t>
  </si>
  <si>
    <t xml:space="preserve">Risk Score
(P×I)</t>
  </si>
  <si>
    <t xml:space="preserve">Priority</t>
  </si>
  <si>
    <t xml:space="preserve">Response
Strategy</t>
  </si>
  <si>
    <t xml:space="preserve">Response Action</t>
  </si>
  <si>
    <t xml:space="preserve">Risk Owner</t>
  </si>
  <si>
    <t xml:space="preserve">Status</t>
  </si>
  <si>
    <t xml:space="preserve">Residual
Risk Score</t>
  </si>
  <si>
    <t xml:space="preserve">Notes</t>
  </si>
  <si>
    <t xml:space="preserve">R-001</t>
  </si>
  <si>
    <t xml:space="preserve">Delay in paint material supply due to single-source supplier</t>
  </si>
  <si>
    <t xml:space="preserve">Supply Chain</t>
  </si>
  <si>
    <t xml:space="preserve">Mitigate</t>
  </si>
  <si>
    <t xml:space="preserve">Qualify secondary supplier by Week 4; maintain 3-week safety stock</t>
  </si>
  <si>
    <t xml:space="preserve">Supply Chain Mgr</t>
  </si>
  <si>
    <t xml:space="preserve">Open</t>
  </si>
  <si>
    <t xml:space="preserve">AS9100 clause 8.4 supplier qualification required</t>
  </si>
  <si>
    <t xml:space="preserve">R-002</t>
  </si>
  <si>
    <t xml:space="preserve">Non-conformity (NCR) during QA inspection causing rework</t>
  </si>
  <si>
    <t xml:space="preserve">Quality</t>
  </si>
  <si>
    <t xml:space="preserve">Weekly QA checkpoints; update control plan; root cause analysis template ready</t>
  </si>
  <si>
    <t xml:space="preserve">QA Engineer</t>
  </si>
  <si>
    <t xml:space="preserve">NCR rate target &lt;2% per batch</t>
  </si>
  <si>
    <t xml:space="preserve">R-003</t>
  </si>
  <si>
    <t xml:space="preserve">Equipment downtime (spray booths) impacting schedule</t>
  </si>
  <si>
    <t xml:space="preserve">Operations</t>
  </si>
  <si>
    <t xml:space="preserve">Preventive maintenance schedule monthly; backup booth identified at Nola facility</t>
  </si>
  <si>
    <t xml:space="preserve">Maintenance Mgr</t>
  </si>
  <si>
    <t xml:space="preserve">MTTR target &lt;8h</t>
  </si>
  <si>
    <t xml:space="preserve">R-004</t>
  </si>
  <si>
    <t xml:space="preserve">Skilled technician unavailability (illness/turnover)</t>
  </si>
  <si>
    <t xml:space="preserve">Resource</t>
  </si>
  <si>
    <t xml:space="preserve">Accept</t>
  </si>
  <si>
    <t xml:space="preserve">Cross-train minimum 2 technicians per process; skills matrix updated quarterly</t>
  </si>
  <si>
    <t xml:space="preserve">Production Supervisor</t>
  </si>
  <si>
    <t xml:space="preserve">Critical skill: Sealant application Sez. B</t>
  </si>
  <si>
    <t xml:space="preserve">R-005</t>
  </si>
  <si>
    <t xml:space="preserve">Specification change request from customer mid-program</t>
  </si>
  <si>
    <t xml:space="preserve">Scope</t>
  </si>
  <si>
    <t xml:space="preserve">Transfer</t>
  </si>
  <si>
    <t xml:space="preserve">Change control process via CCB; contract clause for scope variation cost recovery</t>
  </si>
  <si>
    <t xml:space="preserve">Project Manager</t>
  </si>
  <si>
    <t xml:space="preserve">Requires formal ECR per AS9100 Rev D</t>
  </si>
  <si>
    <t xml:space="preserve">R-006</t>
  </si>
  <si>
    <t xml:space="preserve">Environmental regulation update affecting coating chemicals</t>
  </si>
  <si>
    <t xml:space="preserve">Compliance</t>
  </si>
  <si>
    <t xml:space="preserve">Monitor REACH/RoHS updates quarterly; alternative materials pre-qualified</t>
  </si>
  <si>
    <t xml:space="preserve">HSE Manager</t>
  </si>
  <si>
    <t xml:space="preserve">REACH compliance review due Q3 2026</t>
  </si>
  <si>
    <t xml:space="preserve">R-007</t>
  </si>
  <si>
    <t xml:space="preserve">Budget overrun due to rising raw material costs</t>
  </si>
  <si>
    <t xml:space="preserve">Cost</t>
  </si>
  <si>
    <t xml:space="preserve">Monthly cost tracking vs EVM baseline; escalation clause in supplier contracts</t>
  </si>
  <si>
    <t xml:space="preserve">CPI threshold: alert if CPI &lt; 0.90</t>
  </si>
  <si>
    <t xml:space="preserve">R-008</t>
  </si>
  <si>
    <t xml:space="preserve">Key subcontractor fails to meet delivery milestone</t>
  </si>
  <si>
    <t xml:space="preserve">Liquidated damages clause in subcontract; weekly milestone tracking</t>
  </si>
  <si>
    <t xml:space="preserve">Procurement</t>
  </si>
  <si>
    <t xml:space="preserve">R-009</t>
  </si>
  <si>
    <t xml:space="preserve">Incorrect surface preparation causing adhesion failure</t>
  </si>
  <si>
    <t xml:space="preserve">Mandatory first-article inspection; surface prep checklist per MIL-SPEC</t>
  </si>
  <si>
    <t xml:space="preserve">Closed</t>
  </si>
  <si>
    <t xml:space="preserve">Closed after additional training — June 2026</t>
  </si>
  <si>
    <t xml:space="preserve">R-010</t>
  </si>
  <si>
    <t xml:space="preserve">Weather/humidity exceeding painting process limits</t>
  </si>
  <si>
    <t xml:space="preserve">Environmental monitoring inside controlled booths; halt procedure if RH&gt;85%</t>
  </si>
  <si>
    <t xml:space="preserve">Acceptable residual risk per risk appetite</t>
  </si>
  <si>
    <t xml:space="preserve">SUMMARY</t>
  </si>
  <si>
    <t xml:space="preserve">RISK SCORE = Probability × Impact  |  🔴 HIGH ≥ 15  |  🟡 MEDIUM 8–14  |  🟢 LOW &lt; 8  |  Residual Risk = Score × 0.4 (after response)  |  🔵 Blue = Input  ⚫ Black = Formula  🟢 Green = Cross-sheet link</t>
  </si>
  <si>
    <t xml:space="preserve">PROBABILITY × IMPACT MATRIX — Risk Scoring Reference</t>
  </si>
  <si>
    <t xml:space="preserve">Each cell shows Risk Score = P × I  |  Use this matrix to validate your risk scoring in RISK_REGISTER</t>
  </si>
  <si>
    <t xml:space="preserve">IMPACT →</t>
  </si>
  <si>
    <t xml:space="preserve">PROB ↓</t>
  </si>
  <si>
    <t xml:space="preserve">1
Negligible</t>
  </si>
  <si>
    <t xml:space="preserve">2
Minor</t>
  </si>
  <si>
    <t xml:space="preserve">3
Moderate</t>
  </si>
  <si>
    <t xml:space="preserve">4
Major</t>
  </si>
  <si>
    <t xml:space="preserve">5
Catastrophic</t>
  </si>
  <si>
    <t xml:space="preserve">5
Almost Certain</t>
  </si>
  <si>
    <t xml:space="preserve">4
Likely</t>
  </si>
  <si>
    <t xml:space="preserve">3
Possible</t>
  </si>
  <si>
    <t xml:space="preserve">2
Unlikely</t>
  </si>
  <si>
    <t xml:space="preserve">1
Rare</t>
  </si>
  <si>
    <t xml:space="preserve">🔴 HIGH (≥15): Immediate action required — escalate to PM  |  🟡 MEDIUM (8–14): Response plan mandatory  |  🟢 LOW (&lt;8): Monitor and accept</t>
  </si>
  <si>
    <t xml:space="preserve">RISK RESPONSE STRATEGIES — PMBOK 7 Reference Guide</t>
  </si>
  <si>
    <t xml:space="preserve">Strategy</t>
  </si>
  <si>
    <t xml:space="preserve">Definition</t>
  </si>
  <si>
    <t xml:space="preserve">Aerospace Example</t>
  </si>
  <si>
    <t xml:space="preserve">🔴 AVOID</t>
  </si>
  <si>
    <t xml:space="preserve">Eliminate the threat by changing the project plan. Remove the cause or protect the project objective from its impact.</t>
  </si>
  <si>
    <t xml:space="preserve">Change coating specification to eliminate use of restricted chemical (REACH compliance risk avoided entirely).</t>
  </si>
  <si>
    <t xml:space="preserve">🟡 MITIGATE</t>
  </si>
  <si>
    <t xml:space="preserve">Reduce the probability and/or impact of a risk event to an acceptable threshold.</t>
  </si>
  <si>
    <t xml:space="preserve">Qualify secondary paint supplier to reduce supply delay probability from 4→2.</t>
  </si>
  <si>
    <t xml:space="preserve">🔵 TRANSFER</t>
  </si>
  <si>
    <t xml:space="preserve">Shift the negative impact of a risk to a third party (insurance, subcontract, warranty clause).</t>
  </si>
  <si>
    <t xml:space="preserve">Include liquidated damages clause in subcontract for milestone delay risk.</t>
  </si>
  <si>
    <t xml:space="preserve">🟢 ACCEPT
(Active)</t>
  </si>
  <si>
    <t xml:space="preserve">Acknowledge the risk and prepare a contingency plan to execute if it occurs.</t>
  </si>
  <si>
    <t xml:space="preserve">Accept humidity risk with defined halt procedure if RH&gt;85%. Contingency: reschedule to next dry window.</t>
  </si>
  <si>
    <t xml:space="preserve">⚪ ACCEPT
(Passive)</t>
  </si>
  <si>
    <t xml:space="preserve">Acknowledge the risk with no proactive action. Used for low-priority risks where response cost &gt; impact.</t>
  </si>
  <si>
    <t xml:space="preserve">Accept minor schedule float consumption (&lt;1 day) from individual technician absence.</t>
  </si>
  <si>
    <t xml:space="preserve">🟣 ESCALATE</t>
  </si>
  <si>
    <t xml:space="preserve">Risk is outside project team authority. Escalate to program manager, sponsor, or PMO for decision.</t>
  </si>
  <si>
    <t xml:space="preserve">Customer-requested specification change mid-program escalated to CCB (Change Control Board).</t>
  </si>
  <si>
    <t xml:space="preserve">HOW TO USE THIS RISK REGISTER</t>
  </si>
  <si>
    <t xml:space="preserve">Built for aerospace PM — PMBOK 7 aligned | Part of PM Portfolio by Michele Bellarte | github.com/michelebellarte</t>
  </si>
  <si>
    <t xml:space="preserve">Step</t>
  </si>
  <si>
    <t xml:space="preserve">Action</t>
  </si>
  <si>
    <t xml:space="preserve">Detail</t>
  </si>
  <si>
    <t xml:space="preserve">1</t>
  </si>
  <si>
    <t xml:space="preserve">Update project header</t>
  </si>
  <si>
    <t xml:space="preserve">In RISK_REGISTER row 2, update the project name, company, and status date to match your real project.</t>
  </si>
  <si>
    <t xml:space="preserve">2</t>
  </si>
  <si>
    <t xml:space="preserve">Add your risks (blue cells only)</t>
  </si>
  <si>
    <t xml:space="preserve">Fill in columns: Risk Description, Category, Probability (1-5), Impact (1-5), Response Strategy, Action, Owner, Status. Risk Score and Priority are calculated automatically.</t>
  </si>
  <si>
    <t xml:space="preserve">3</t>
  </si>
  <si>
    <t xml:space="preserve">Use the P×I Matrix sheet</t>
  </si>
  <si>
    <t xml:space="preserve">Consult the P×I MATRIX sheet to calibrate your scoring. Use it in team workshops to score risks consistently.</t>
  </si>
  <si>
    <t xml:space="preserve">4</t>
  </si>
  <si>
    <t xml:space="preserve">Choose response strategy</t>
  </si>
  <si>
    <t xml:space="preserve">Refer to RESPONSE_GUIDE sheet for PMBOK definitions. Choose: Avoid / Mitigate / Transfer / Accept / Escalate.</t>
  </si>
  <si>
    <t xml:space="preserve">5</t>
  </si>
  <si>
    <t xml:space="preserve">Interpret Risk Score colors</t>
  </si>
  <si>
    <t xml:space="preserve">🔴 RED (≥15): escalate immediately | 🟡 AMBER (8-14): response plan required | 🟢 GREEN (&lt;8): monitor only.</t>
  </si>
  <si>
    <t xml:space="preserve">6</t>
  </si>
  <si>
    <t xml:space="preserve">Track residual risk</t>
  </si>
  <si>
    <t xml:space="preserve">Column L shows residual risk after response (Score × 0.4). This represents remaining exposure after your mitigation is applied.</t>
  </si>
  <si>
    <t xml:space="preserve">7</t>
  </si>
  <si>
    <t xml:space="preserve">Update status weekly</t>
  </si>
  <si>
    <t xml:space="preserve">Change Status column (K) from 'Open' to 'Closed' when risk is resolved. Add closure notes in column 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</si>
</sst>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;\-0;\-"/>
    <numFmt numFmtId="167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6A34A"/>
      <name val="Arial"/>
      <family val="0"/>
      <charset val="1"/>
    </font>
    <font>
      <b val="true"/>
      <sz val="12"/>
      <color rgb="FFD97706"/>
      <name val="Arial"/>
      <family val="0"/>
      <charset val="1"/>
    </font>
    <font>
      <b val="true"/>
      <sz val="12"/>
      <color rgb="FFDC2626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5555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2B4A"/>
        <bgColor rgb="FF1F3C6E"/>
      </patternFill>
    </fill>
    <fill>
      <patternFill patternType="solid">
        <fgColor rgb="FF1F3C6E"/>
        <bgColor rgb="FF1A2B4A"/>
      </patternFill>
    </fill>
    <fill>
      <patternFill patternType="solid">
        <fgColor rgb="FF2563EB"/>
        <bgColor rgb="FF0066CC"/>
      </patternFill>
    </fill>
    <fill>
      <patternFill patternType="solid">
        <fgColor rgb="FFE6F1FB"/>
        <bgColor rgb="FFEEF4FC"/>
      </patternFill>
    </fill>
    <fill>
      <patternFill patternType="solid">
        <fgColor rgb="FFEEF4FC"/>
        <bgColor rgb="FFE6F1FB"/>
      </patternFill>
    </fill>
    <fill>
      <patternFill patternType="solid">
        <fgColor rgb="FFDCFCE7"/>
        <bgColor rgb="FFE6F1FB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AC8"/>
      </left>
      <right style="thin">
        <color rgb="FFB0BAC8"/>
      </right>
      <top style="thin">
        <color rgb="FFB0BAC8"/>
      </top>
      <bottom style="thin">
        <color rgb="FFB0BAC8"/>
      </bottom>
      <diagonal/>
    </border>
    <border diagonalUp="false" diagonalDown="false">
      <left style="thin">
        <color rgb="FFB0BAC8"/>
      </left>
      <right/>
      <top style="thin">
        <color rgb="FFB0BAC8"/>
      </top>
      <bottom style="thin">
        <color rgb="FFB0BA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DC2626"/>
      </font>
      <fill>
        <patternFill>
          <bgColor rgb="FFFEE2E2"/>
        </patternFill>
      </fill>
    </dxf>
    <dxf>
      <font>
        <b val="1"/>
        <color rgb="FFD97706"/>
      </font>
      <fill>
        <patternFill>
          <bgColor rgb="FFFEF3C7"/>
        </patternFill>
      </fill>
    </dxf>
    <dxf>
      <font>
        <b val="1"/>
        <color rgb="FF16A34A"/>
      </font>
      <fill>
        <patternFill>
          <bgColor rgb="FFDCFCE7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AC8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EF4FC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555555"/>
      <rgbColor rgb="FF969696"/>
      <rgbColor rgb="FF1F3C6E"/>
      <rgbColor rgb="FF16A34A"/>
      <rgbColor rgb="FF003300"/>
      <rgbColor rgb="FF444444"/>
      <rgbColor rgb="FF993300"/>
      <rgbColor rgb="FF993366"/>
      <rgbColor rgb="FF333399"/>
      <rgbColor rgb="FF1A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7" min="5" style="1" width="12"/>
    <col collapsed="false" customWidth="true" hidden="false" outlineLevel="0" max="8" min="8" style="1" width="16"/>
    <col collapsed="false" customWidth="true" hidden="false" outlineLevel="0" max="9" min="9" style="1" width="34"/>
    <col collapsed="false" customWidth="true" hidden="false" outlineLevel="0" max="10" min="10" style="1" width="18"/>
    <col collapsed="false" customWidth="true" hidden="false" outlineLevel="0" max="11" min="11" style="1" width="14"/>
    <col collapsed="false" customWidth="true" hidden="false" outlineLevel="0" max="12" min="12" style="1" width="20"/>
    <col collapsed="false" customWidth="true" hidden="false" outlineLevel="0" max="13" min="13" style="1" width="22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27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4" customFormat="false" ht="60" hidden="false" customHeight="true" outlineLevel="0" collapsed="false">
      <c r="A4" s="5" t="s">
        <v>15</v>
      </c>
      <c r="B4" s="6" t="s">
        <v>16</v>
      </c>
      <c r="C4" s="6" t="s">
        <v>17</v>
      </c>
      <c r="D4" s="7" t="n">
        <v>4</v>
      </c>
      <c r="E4" s="7" t="n">
        <v>4</v>
      </c>
      <c r="F4" s="8" t="n">
        <f aca="false">D4*E4</f>
        <v>16</v>
      </c>
      <c r="G4" s="9" t="str">
        <f aca="false">IF(F4&gt;=15,"🔴 HIGH",IF(F4&gt;=8,"🟡 MEDIUM","🟢 LOW"))</f>
        <v>🔴 HIGH</v>
      </c>
      <c r="H4" s="6" t="s">
        <v>18</v>
      </c>
      <c r="I4" s="6" t="s">
        <v>19</v>
      </c>
      <c r="J4" s="6" t="s">
        <v>20</v>
      </c>
      <c r="K4" s="10" t="s">
        <v>21</v>
      </c>
      <c r="L4" s="11" t="n">
        <f aca="false">IF(F4&lt;=0,"-",ROUND(F4*0.4,0))</f>
        <v>6</v>
      </c>
      <c r="M4" s="6" t="s">
        <v>22</v>
      </c>
    </row>
    <row r="5" customFormat="false" ht="60" hidden="false" customHeight="true" outlineLevel="0" collapsed="false">
      <c r="A5" s="12" t="s">
        <v>23</v>
      </c>
      <c r="B5" s="13" t="s">
        <v>24</v>
      </c>
      <c r="C5" s="13" t="s">
        <v>25</v>
      </c>
      <c r="D5" s="14" t="n">
        <v>3</v>
      </c>
      <c r="E5" s="14" t="n">
        <v>5</v>
      </c>
      <c r="F5" s="15" t="n">
        <f aca="false">D5*E5</f>
        <v>15</v>
      </c>
      <c r="G5" s="16" t="str">
        <f aca="false">IF(F5&gt;=15,"🔴 HIGH",IF(F5&gt;=8,"🟡 MEDIUM","🟢 LOW"))</f>
        <v>🔴 HIGH</v>
      </c>
      <c r="H5" s="13" t="s">
        <v>18</v>
      </c>
      <c r="I5" s="13" t="s">
        <v>26</v>
      </c>
      <c r="J5" s="13" t="s">
        <v>27</v>
      </c>
      <c r="K5" s="17" t="s">
        <v>21</v>
      </c>
      <c r="L5" s="18" t="n">
        <f aca="false">IF(F5&lt;=0,"-",ROUND(F5*0.4,0))</f>
        <v>6</v>
      </c>
      <c r="M5" s="13" t="s">
        <v>28</v>
      </c>
    </row>
    <row r="6" customFormat="false" ht="60" hidden="false" customHeight="true" outlineLevel="0" collapsed="false">
      <c r="A6" s="5" t="s">
        <v>29</v>
      </c>
      <c r="B6" s="6" t="s">
        <v>30</v>
      </c>
      <c r="C6" s="6" t="s">
        <v>31</v>
      </c>
      <c r="D6" s="7" t="n">
        <v>3</v>
      </c>
      <c r="E6" s="7" t="n">
        <v>4</v>
      </c>
      <c r="F6" s="8" t="n">
        <f aca="false">D6*E6</f>
        <v>12</v>
      </c>
      <c r="G6" s="9" t="str">
        <f aca="false">IF(F6&gt;=15,"🔴 HIGH",IF(F6&gt;=8,"🟡 MEDIUM","🟢 LOW"))</f>
        <v>🟡 MEDIUM</v>
      </c>
      <c r="H6" s="6" t="s">
        <v>18</v>
      </c>
      <c r="I6" s="6" t="s">
        <v>32</v>
      </c>
      <c r="J6" s="6" t="s">
        <v>33</v>
      </c>
      <c r="K6" s="10" t="s">
        <v>21</v>
      </c>
      <c r="L6" s="11" t="n">
        <f aca="false">IF(F6&lt;=0,"-",ROUND(F6*0.4,0))</f>
        <v>5</v>
      </c>
      <c r="M6" s="6" t="s">
        <v>34</v>
      </c>
    </row>
    <row r="7" customFormat="false" ht="60" hidden="false" customHeight="true" outlineLevel="0" collapsed="false">
      <c r="A7" s="12" t="s">
        <v>35</v>
      </c>
      <c r="B7" s="13" t="s">
        <v>36</v>
      </c>
      <c r="C7" s="13" t="s">
        <v>37</v>
      </c>
      <c r="D7" s="14" t="n">
        <v>2</v>
      </c>
      <c r="E7" s="14" t="n">
        <v>4</v>
      </c>
      <c r="F7" s="15" t="n">
        <f aca="false">D7*E7</f>
        <v>8</v>
      </c>
      <c r="G7" s="16" t="str">
        <f aca="false">IF(F7&gt;=15,"🔴 HIGH",IF(F7&gt;=8,"🟡 MEDIUM","🟢 LOW"))</f>
        <v>🟡 MEDIUM</v>
      </c>
      <c r="H7" s="13" t="s">
        <v>38</v>
      </c>
      <c r="I7" s="13" t="s">
        <v>39</v>
      </c>
      <c r="J7" s="13" t="s">
        <v>40</v>
      </c>
      <c r="K7" s="17" t="s">
        <v>21</v>
      </c>
      <c r="L7" s="18" t="n">
        <f aca="false">IF(F7&lt;=0,"-",ROUND(F7*0.4,0))</f>
        <v>3</v>
      </c>
      <c r="M7" s="13" t="s">
        <v>41</v>
      </c>
    </row>
    <row r="8" customFormat="false" ht="60" hidden="false" customHeight="true" outlineLevel="0" collapsed="false">
      <c r="A8" s="5" t="s">
        <v>42</v>
      </c>
      <c r="B8" s="6" t="s">
        <v>43</v>
      </c>
      <c r="C8" s="6" t="s">
        <v>44</v>
      </c>
      <c r="D8" s="7" t="n">
        <v>2</v>
      </c>
      <c r="E8" s="7" t="n">
        <v>5</v>
      </c>
      <c r="F8" s="8" t="n">
        <f aca="false">D8*E8</f>
        <v>10</v>
      </c>
      <c r="G8" s="9" t="str">
        <f aca="false">IF(F8&gt;=15,"🔴 HIGH",IF(F8&gt;=8,"🟡 MEDIUM","🟢 LOW"))</f>
        <v>🟡 MEDIUM</v>
      </c>
      <c r="H8" s="6" t="s">
        <v>45</v>
      </c>
      <c r="I8" s="6" t="s">
        <v>46</v>
      </c>
      <c r="J8" s="6" t="s">
        <v>47</v>
      </c>
      <c r="K8" s="10" t="s">
        <v>21</v>
      </c>
      <c r="L8" s="11" t="n">
        <f aca="false">IF(F8&lt;=0,"-",ROUND(F8*0.4,0))</f>
        <v>4</v>
      </c>
      <c r="M8" s="6" t="s">
        <v>48</v>
      </c>
    </row>
    <row r="9" customFormat="false" ht="60" hidden="false" customHeight="true" outlineLevel="0" collapsed="false">
      <c r="A9" s="12" t="s">
        <v>49</v>
      </c>
      <c r="B9" s="13" t="s">
        <v>50</v>
      </c>
      <c r="C9" s="13" t="s">
        <v>51</v>
      </c>
      <c r="D9" s="14" t="n">
        <v>2</v>
      </c>
      <c r="E9" s="14" t="n">
        <v>3</v>
      </c>
      <c r="F9" s="15" t="n">
        <f aca="false">D9*E9</f>
        <v>6</v>
      </c>
      <c r="G9" s="16" t="str">
        <f aca="false">IF(F9&gt;=15,"🔴 HIGH",IF(F9&gt;=8,"🟡 MEDIUM","🟢 LOW"))</f>
        <v>🟢 LOW</v>
      </c>
      <c r="H9" s="13" t="s">
        <v>18</v>
      </c>
      <c r="I9" s="13" t="s">
        <v>52</v>
      </c>
      <c r="J9" s="13" t="s">
        <v>53</v>
      </c>
      <c r="K9" s="17" t="s">
        <v>21</v>
      </c>
      <c r="L9" s="18" t="n">
        <f aca="false">IF(F9&lt;=0,"-",ROUND(F9*0.4,0))</f>
        <v>2</v>
      </c>
      <c r="M9" s="13" t="s">
        <v>54</v>
      </c>
    </row>
    <row r="10" customFormat="false" ht="60" hidden="false" customHeight="true" outlineLevel="0" collapsed="false">
      <c r="A10" s="5" t="s">
        <v>55</v>
      </c>
      <c r="B10" s="6" t="s">
        <v>56</v>
      </c>
      <c r="C10" s="6" t="s">
        <v>57</v>
      </c>
      <c r="D10" s="7" t="n">
        <v>3</v>
      </c>
      <c r="E10" s="7" t="n">
        <v>3</v>
      </c>
      <c r="F10" s="8" t="n">
        <f aca="false">D10*E10</f>
        <v>9</v>
      </c>
      <c r="G10" s="9" t="str">
        <f aca="false">IF(F10&gt;=15,"🔴 HIGH",IF(F10&gt;=8,"🟡 MEDIUM","🟢 LOW"))</f>
        <v>🟡 MEDIUM</v>
      </c>
      <c r="H10" s="6" t="s">
        <v>18</v>
      </c>
      <c r="I10" s="6" t="s">
        <v>58</v>
      </c>
      <c r="J10" s="6" t="s">
        <v>47</v>
      </c>
      <c r="K10" s="10" t="s">
        <v>21</v>
      </c>
      <c r="L10" s="11" t="n">
        <f aca="false">IF(F10&lt;=0,"-",ROUND(F10*0.4,0))</f>
        <v>4</v>
      </c>
      <c r="M10" s="6" t="s">
        <v>59</v>
      </c>
    </row>
    <row r="11" customFormat="false" ht="60" hidden="false" customHeight="true" outlineLevel="0" collapsed="false">
      <c r="A11" s="12" t="s">
        <v>60</v>
      </c>
      <c r="B11" s="13" t="s">
        <v>61</v>
      </c>
      <c r="C11" s="13" t="s">
        <v>17</v>
      </c>
      <c r="D11" s="14" t="n">
        <v>2</v>
      </c>
      <c r="E11" s="14" t="n">
        <v>4</v>
      </c>
      <c r="F11" s="15" t="n">
        <f aca="false">D11*E11</f>
        <v>8</v>
      </c>
      <c r="G11" s="16" t="str">
        <f aca="false">IF(F11&gt;=15,"🔴 HIGH",IF(F11&gt;=8,"🟡 MEDIUM","🟢 LOW"))</f>
        <v>🟡 MEDIUM</v>
      </c>
      <c r="H11" s="13" t="s">
        <v>45</v>
      </c>
      <c r="I11" s="13" t="s">
        <v>62</v>
      </c>
      <c r="J11" s="13" t="s">
        <v>63</v>
      </c>
      <c r="K11" s="17" t="s">
        <v>21</v>
      </c>
      <c r="L11" s="18" t="n">
        <f aca="false">IF(F11&lt;=0,"-",ROUND(F11*0.4,0))</f>
        <v>3</v>
      </c>
      <c r="M11" s="13"/>
    </row>
    <row r="12" customFormat="false" ht="60" hidden="false" customHeight="true" outlineLevel="0" collapsed="false">
      <c r="A12" s="5" t="s">
        <v>64</v>
      </c>
      <c r="B12" s="6" t="s">
        <v>65</v>
      </c>
      <c r="C12" s="6" t="s">
        <v>25</v>
      </c>
      <c r="D12" s="7" t="n">
        <v>2</v>
      </c>
      <c r="E12" s="7" t="n">
        <v>5</v>
      </c>
      <c r="F12" s="8" t="n">
        <f aca="false">D12*E12</f>
        <v>10</v>
      </c>
      <c r="G12" s="9" t="str">
        <f aca="false">IF(F12&gt;=15,"🔴 HIGH",IF(F12&gt;=8,"🟡 MEDIUM","🟢 LOW"))</f>
        <v>🟡 MEDIUM</v>
      </c>
      <c r="H12" s="6" t="s">
        <v>18</v>
      </c>
      <c r="I12" s="6" t="s">
        <v>66</v>
      </c>
      <c r="J12" s="6" t="s">
        <v>27</v>
      </c>
      <c r="K12" s="10" t="s">
        <v>67</v>
      </c>
      <c r="L12" s="11" t="n">
        <f aca="false">IF(F12&lt;=0,"-",ROUND(F12*0.4,0))</f>
        <v>4</v>
      </c>
      <c r="M12" s="6" t="s">
        <v>68</v>
      </c>
    </row>
    <row r="13" customFormat="false" ht="60" hidden="false" customHeight="true" outlineLevel="0" collapsed="false">
      <c r="A13" s="12" t="s">
        <v>69</v>
      </c>
      <c r="B13" s="13" t="s">
        <v>70</v>
      </c>
      <c r="C13" s="13" t="s">
        <v>31</v>
      </c>
      <c r="D13" s="14" t="n">
        <v>3</v>
      </c>
      <c r="E13" s="14" t="n">
        <v>2</v>
      </c>
      <c r="F13" s="15" t="n">
        <f aca="false">D13*E13</f>
        <v>6</v>
      </c>
      <c r="G13" s="16" t="str">
        <f aca="false">IF(F13&gt;=15,"🔴 HIGH",IF(F13&gt;=8,"🟡 MEDIUM","🟢 LOW"))</f>
        <v>🟢 LOW</v>
      </c>
      <c r="H13" s="13" t="s">
        <v>38</v>
      </c>
      <c r="I13" s="13" t="s">
        <v>71</v>
      </c>
      <c r="J13" s="13" t="s">
        <v>40</v>
      </c>
      <c r="K13" s="17" t="s">
        <v>21</v>
      </c>
      <c r="L13" s="18" t="n">
        <f aca="false">IF(F13&lt;=0,"-",ROUND(F13*0.4,0))</f>
        <v>2</v>
      </c>
      <c r="M13" s="13" t="s">
        <v>72</v>
      </c>
    </row>
    <row r="14" customFormat="false" ht="24" hidden="false" customHeight="true" outlineLevel="0" collapsed="false">
      <c r="A14" s="19" t="s">
        <v>73</v>
      </c>
      <c r="B14" s="19"/>
      <c r="C14" s="19"/>
      <c r="D14" s="20" t="n">
        <f aca="false">COUNTIF(D4:D13,"&gt;0")</f>
        <v>10</v>
      </c>
      <c r="E14" s="20" t="n">
        <f aca="false">COUNTIF(F4:F13,"&gt;=15")</f>
        <v>2</v>
      </c>
      <c r="F14" s="20" t="n">
        <f aca="false">COUNTIF(F4:F13,"&gt;=8")-COUNTIF(F4:F13,"&gt;=15")</f>
        <v>6</v>
      </c>
      <c r="G14" s="20" t="n">
        <f aca="false">COUNTIF(F4:F13,"&lt;8")</f>
        <v>2</v>
      </c>
      <c r="H14" s="20" t="n">
        <f aca="false">COUNTIF(K4:K13,"Open")</f>
        <v>9</v>
      </c>
      <c r="I14" s="20" t="n">
        <f aca="false">COUNTIF(K4:K13,"Closed")</f>
        <v>1</v>
      </c>
      <c r="J14" s="20" t="n">
        <f aca="false">AVERAGE(F4:F13)</f>
        <v>10</v>
      </c>
      <c r="K14" s="20" t="n">
        <f aca="false">MAX(F4:F13)</f>
        <v>16</v>
      </c>
    </row>
    <row r="16" customFormat="false" ht="15.75" hidden="false" customHeight="true" outlineLevel="0" collapsed="false">
      <c r="A16" s="21" t="s">
        <v>74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</sheetData>
  <mergeCells count="4">
    <mergeCell ref="A1:M1"/>
    <mergeCell ref="A2:M2"/>
    <mergeCell ref="A14:C14"/>
    <mergeCell ref="A16:M16"/>
  </mergeCells>
  <conditionalFormatting sqref="F4:F13">
    <cfRule type="cellIs" priority="2" operator="greaterThanOrEqual" aboveAverage="0" equalAverage="0" bottom="0" percent="0" rank="0" text="" dxfId="0">
      <formula>15</formula>
    </cfRule>
    <cfRule type="cellIs" priority="3" operator="between" aboveAverage="0" equalAverage="0" bottom="0" percent="0" rank="0" text="" dxfId="1">
      <formula>8</formula>
      <formula>14</formula>
    </cfRule>
    <cfRule type="cellIs" priority="4" operator="lessThan" aboveAverage="0" equalAverage="0" bottom="0" percent="0" rank="0" text="" dxfId="2">
      <formula>8</formula>
    </cfRule>
  </conditionalFormatting>
  <conditionalFormatting sqref="L4:L13">
    <cfRule type="cellIs" priority="5" operator="greaterThanOrEqual" aboveAverage="0" equalAverage="0" bottom="0" percent="0" rank="0" text="" dxfId="0">
      <formula>6</formula>
    </cfRule>
    <cfRule type="cellIs" priority="6" operator="between" aboveAverage="0" equalAverage="0" bottom="0" percent="0" rank="0" text="" dxfId="1">
      <formula>4</formula>
      <formula>5</formula>
    </cfRule>
    <cfRule type="cellIs" priority="7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4"/>
  </cols>
  <sheetData>
    <row r="1" customFormat="false" ht="33.75" hidden="false" customHeight="true" outlineLevel="0" collapsed="false">
      <c r="A1" s="22" t="s">
        <v>75</v>
      </c>
      <c r="B1" s="22"/>
      <c r="C1" s="22"/>
      <c r="D1" s="22"/>
      <c r="E1" s="22"/>
      <c r="F1" s="22"/>
      <c r="G1" s="22"/>
    </row>
    <row r="2" customFormat="false" ht="15.75" hidden="false" customHeight="true" outlineLevel="0" collapsed="false">
      <c r="A2" s="3" t="s">
        <v>76</v>
      </c>
      <c r="B2" s="3"/>
      <c r="C2" s="3"/>
      <c r="D2" s="3"/>
      <c r="E2" s="3"/>
      <c r="F2" s="3"/>
      <c r="G2" s="3"/>
    </row>
    <row r="3" customFormat="false" ht="27.75" hidden="false" customHeight="true" outlineLevel="0" collapsed="false">
      <c r="A3" s="23"/>
      <c r="B3" s="24" t="s">
        <v>77</v>
      </c>
      <c r="C3" s="24"/>
      <c r="D3" s="24"/>
      <c r="E3" s="24"/>
      <c r="F3" s="24"/>
      <c r="G3" s="24"/>
    </row>
    <row r="4" customFormat="false" ht="36" hidden="false" customHeight="true" outlineLevel="0" collapsed="false">
      <c r="A4" s="25" t="s">
        <v>78</v>
      </c>
      <c r="B4" s="26" t="s">
        <v>79</v>
      </c>
      <c r="C4" s="26" t="s">
        <v>80</v>
      </c>
      <c r="D4" s="26" t="s">
        <v>81</v>
      </c>
      <c r="E4" s="26" t="s">
        <v>82</v>
      </c>
      <c r="F4" s="26" t="s">
        <v>83</v>
      </c>
    </row>
    <row r="5" customFormat="false" ht="31.5" hidden="false" customHeight="true" outlineLevel="0" collapsed="false">
      <c r="A5" s="26" t="s">
        <v>84</v>
      </c>
      <c r="B5" s="27" t="n">
        <v>5</v>
      </c>
      <c r="C5" s="28" t="n">
        <v>10</v>
      </c>
      <c r="D5" s="29" t="n">
        <v>15</v>
      </c>
      <c r="E5" s="29" t="n">
        <v>20</v>
      </c>
      <c r="F5" s="29" t="n">
        <v>25</v>
      </c>
    </row>
    <row r="6" customFormat="false" ht="31.5" hidden="false" customHeight="true" outlineLevel="0" collapsed="false">
      <c r="A6" s="26" t="s">
        <v>85</v>
      </c>
      <c r="B6" s="27" t="n">
        <v>4</v>
      </c>
      <c r="C6" s="28" t="n">
        <v>8</v>
      </c>
      <c r="D6" s="28" t="n">
        <v>12</v>
      </c>
      <c r="E6" s="29" t="n">
        <v>16</v>
      </c>
      <c r="F6" s="29" t="n">
        <v>20</v>
      </c>
    </row>
    <row r="7" customFormat="false" ht="31.5" hidden="false" customHeight="true" outlineLevel="0" collapsed="false">
      <c r="A7" s="26" t="s">
        <v>86</v>
      </c>
      <c r="B7" s="27" t="n">
        <v>3</v>
      </c>
      <c r="C7" s="27" t="n">
        <v>6</v>
      </c>
      <c r="D7" s="28" t="n">
        <v>9</v>
      </c>
      <c r="E7" s="28" t="n">
        <v>12</v>
      </c>
      <c r="F7" s="29" t="n">
        <v>15</v>
      </c>
    </row>
    <row r="8" customFormat="false" ht="31.5" hidden="false" customHeight="true" outlineLevel="0" collapsed="false">
      <c r="A8" s="26" t="s">
        <v>87</v>
      </c>
      <c r="B8" s="27" t="n">
        <v>2</v>
      </c>
      <c r="C8" s="27" t="n">
        <v>4</v>
      </c>
      <c r="D8" s="27" t="n">
        <v>6</v>
      </c>
      <c r="E8" s="28" t="n">
        <v>8</v>
      </c>
      <c r="F8" s="28" t="n">
        <v>10</v>
      </c>
    </row>
    <row r="9" customFormat="false" ht="31.5" hidden="false" customHeight="true" outlineLevel="0" collapsed="false">
      <c r="A9" s="26" t="s">
        <v>88</v>
      </c>
      <c r="B9" s="27" t="n">
        <v>1</v>
      </c>
      <c r="C9" s="27" t="n">
        <v>2</v>
      </c>
      <c r="D9" s="27" t="n">
        <v>3</v>
      </c>
      <c r="E9" s="27" t="n">
        <v>4</v>
      </c>
      <c r="F9" s="27" t="n">
        <v>5</v>
      </c>
    </row>
    <row r="11" customFormat="false" ht="18" hidden="false" customHeight="true" outlineLevel="0" collapsed="false">
      <c r="A11" s="30" t="s">
        <v>89</v>
      </c>
      <c r="B11" s="30"/>
      <c r="C11" s="30"/>
      <c r="D11" s="30"/>
      <c r="E11" s="30"/>
      <c r="F11" s="30"/>
      <c r="G11" s="30"/>
    </row>
  </sheetData>
  <mergeCells count="4">
    <mergeCell ref="A1:G1"/>
    <mergeCell ref="A2:G2"/>
    <mergeCell ref="B3:G3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6"/>
    <col collapsed="false" customWidth="true" hidden="false" outlineLevel="0" max="3" min="3" style="1" width="42"/>
  </cols>
  <sheetData>
    <row r="1" customFormat="false" ht="33.75" hidden="false" customHeight="true" outlineLevel="0" collapsed="false">
      <c r="A1" s="22" t="s">
        <v>90</v>
      </c>
      <c r="B1" s="22"/>
      <c r="C1" s="22"/>
    </row>
    <row r="2" customFormat="false" ht="27.75" hidden="false" customHeight="true" outlineLevel="0" collapsed="false">
      <c r="A2" s="4" t="s">
        <v>91</v>
      </c>
      <c r="B2" s="4" t="s">
        <v>92</v>
      </c>
      <c r="C2" s="4" t="s">
        <v>93</v>
      </c>
    </row>
    <row r="3" customFormat="false" ht="51.75" hidden="false" customHeight="true" outlineLevel="0" collapsed="false">
      <c r="A3" s="31" t="s">
        <v>94</v>
      </c>
      <c r="B3" s="32" t="s">
        <v>95</v>
      </c>
      <c r="C3" s="33" t="s">
        <v>96</v>
      </c>
    </row>
    <row r="4" customFormat="false" ht="51.75" hidden="false" customHeight="true" outlineLevel="0" collapsed="false">
      <c r="A4" s="34" t="s">
        <v>97</v>
      </c>
      <c r="B4" s="35" t="s">
        <v>98</v>
      </c>
      <c r="C4" s="36" t="s">
        <v>99</v>
      </c>
    </row>
    <row r="5" customFormat="false" ht="51.75" hidden="false" customHeight="true" outlineLevel="0" collapsed="false">
      <c r="A5" s="31" t="s">
        <v>100</v>
      </c>
      <c r="B5" s="32" t="s">
        <v>101</v>
      </c>
      <c r="C5" s="33" t="s">
        <v>102</v>
      </c>
    </row>
    <row r="6" customFormat="false" ht="51.75" hidden="false" customHeight="true" outlineLevel="0" collapsed="false">
      <c r="A6" s="34" t="s">
        <v>103</v>
      </c>
      <c r="B6" s="35" t="s">
        <v>104</v>
      </c>
      <c r="C6" s="36" t="s">
        <v>105</v>
      </c>
    </row>
    <row r="7" customFormat="false" ht="51.75" hidden="false" customHeight="true" outlineLevel="0" collapsed="false">
      <c r="A7" s="31" t="s">
        <v>106</v>
      </c>
      <c r="B7" s="32" t="s">
        <v>107</v>
      </c>
      <c r="C7" s="33" t="s">
        <v>108</v>
      </c>
    </row>
    <row r="8" customFormat="false" ht="51.75" hidden="false" customHeight="true" outlineLevel="0" collapsed="false">
      <c r="A8" s="34" t="s">
        <v>109</v>
      </c>
      <c r="B8" s="35" t="s">
        <v>110</v>
      </c>
      <c r="C8" s="36" t="s">
        <v>111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52"/>
  </cols>
  <sheetData>
    <row r="1" customFormat="false" ht="33.75" hidden="false" customHeight="true" outlineLevel="0" collapsed="false">
      <c r="A1" s="22" t="s">
        <v>112</v>
      </c>
      <c r="B1" s="22"/>
      <c r="C1" s="22"/>
    </row>
    <row r="2" customFormat="false" ht="15.75" hidden="false" customHeight="true" outlineLevel="0" collapsed="false">
      <c r="A2" s="3" t="s">
        <v>113</v>
      </c>
      <c r="B2" s="3"/>
      <c r="C2" s="3"/>
    </row>
    <row r="3" customFormat="false" ht="27.75" hidden="false" customHeight="true" outlineLevel="0" collapsed="false">
      <c r="A3" s="4" t="s">
        <v>114</v>
      </c>
      <c r="B3" s="4" t="s">
        <v>115</v>
      </c>
      <c r="C3" s="4" t="s">
        <v>116</v>
      </c>
    </row>
    <row r="4" customFormat="false" ht="39.75" hidden="false" customHeight="true" outlineLevel="0" collapsed="false">
      <c r="A4" s="4" t="s">
        <v>117</v>
      </c>
      <c r="B4" s="34" t="s">
        <v>118</v>
      </c>
      <c r="C4" s="35" t="s">
        <v>119</v>
      </c>
    </row>
    <row r="5" customFormat="false" ht="39.75" hidden="false" customHeight="true" outlineLevel="0" collapsed="false">
      <c r="A5" s="4" t="s">
        <v>120</v>
      </c>
      <c r="B5" s="31" t="s">
        <v>121</v>
      </c>
      <c r="C5" s="32" t="s">
        <v>122</v>
      </c>
    </row>
    <row r="6" customFormat="false" ht="39.75" hidden="false" customHeight="true" outlineLevel="0" collapsed="false">
      <c r="A6" s="4" t="s">
        <v>123</v>
      </c>
      <c r="B6" s="34" t="s">
        <v>124</v>
      </c>
      <c r="C6" s="35" t="s">
        <v>125</v>
      </c>
    </row>
    <row r="7" customFormat="false" ht="39.75" hidden="false" customHeight="true" outlineLevel="0" collapsed="false">
      <c r="A7" s="4" t="s">
        <v>126</v>
      </c>
      <c r="B7" s="31" t="s">
        <v>127</v>
      </c>
      <c r="C7" s="32" t="s">
        <v>128</v>
      </c>
    </row>
    <row r="8" customFormat="false" ht="39.75" hidden="false" customHeight="true" outlineLevel="0" collapsed="false">
      <c r="A8" s="4" t="s">
        <v>129</v>
      </c>
      <c r="B8" s="34" t="s">
        <v>130</v>
      </c>
      <c r="C8" s="35" t="s">
        <v>131</v>
      </c>
    </row>
    <row r="9" customFormat="false" ht="39.75" hidden="false" customHeight="true" outlineLevel="0" collapsed="false">
      <c r="A9" s="4" t="s">
        <v>132</v>
      </c>
      <c r="B9" s="31" t="s">
        <v>133</v>
      </c>
      <c r="C9" s="32" t="s">
        <v>134</v>
      </c>
    </row>
    <row r="10" customFormat="false" ht="39.75" hidden="false" customHeight="true" outlineLevel="0" collapsed="false">
      <c r="A10" s="4" t="s">
        <v>135</v>
      </c>
      <c r="B10" s="34" t="s">
        <v>136</v>
      </c>
      <c r="C10" s="35" t="s">
        <v>137</v>
      </c>
    </row>
    <row r="11" customFormat="false" ht="39.75" hidden="false" customHeight="true" outlineLevel="0" collapsed="false"/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2026-06-29T21:10:36Z</dcterms:created>
  <dc:creator>openpyxl</dc:creator>
  <dc:description/>
  <dc:language>en-US</dc:language>
  <cp:lastModifiedBy/>
  <dcterms:modified xsi:type="dcterms:W3CDTF">2026-07-01T08:38:40Z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